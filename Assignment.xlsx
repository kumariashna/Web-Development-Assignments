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/>
  </bookViews>
  <sheets>
    <sheet name="15-Day Plan" sheetId="1" r:id="rId1"/>
    <sheet name="Summary" sheetId="2" r:id="rId2"/>
  </sheets>
  <definedNames>
    <definedName name="_xlnm._FilterDatabase" localSheetId="0" hidden="1">'15-Day Plan'!$A$4:$D$66</definedName>
  </definedName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2" l="1"/>
  <c r="D18" i="2"/>
  <c r="C18" i="2"/>
  <c r="F18" i="2" s="1"/>
  <c r="E17" i="2"/>
  <c r="D17" i="2"/>
  <c r="C17" i="2"/>
  <c r="E16" i="2"/>
  <c r="D16" i="2"/>
  <c r="C16" i="2"/>
  <c r="E15" i="2"/>
  <c r="D15" i="2"/>
  <c r="C15" i="2"/>
  <c r="F15" i="2" s="1"/>
  <c r="E14" i="2"/>
  <c r="D14" i="2"/>
  <c r="C14" i="2"/>
  <c r="F14" i="2" s="1"/>
  <c r="E13" i="2"/>
  <c r="D13" i="2"/>
  <c r="C13" i="2"/>
  <c r="E12" i="2"/>
  <c r="D12" i="2"/>
  <c r="C12" i="2"/>
  <c r="E11" i="2"/>
  <c r="D11" i="2"/>
  <c r="C11" i="2"/>
  <c r="F11" i="2" s="1"/>
  <c r="E10" i="2"/>
  <c r="D10" i="2"/>
  <c r="C10" i="2"/>
  <c r="F10" i="2" s="1"/>
  <c r="E9" i="2"/>
  <c r="D9" i="2"/>
  <c r="C9" i="2"/>
  <c r="E8" i="2"/>
  <c r="D8" i="2"/>
  <c r="C8" i="2"/>
  <c r="E7" i="2"/>
  <c r="D7" i="2"/>
  <c r="C7" i="2"/>
  <c r="F7" i="2" s="1"/>
  <c r="E6" i="2"/>
  <c r="D6" i="2"/>
  <c r="C6" i="2"/>
  <c r="F6" i="2" s="1"/>
  <c r="E5" i="2"/>
  <c r="D5" i="2"/>
  <c r="C5" i="2"/>
  <c r="E4" i="2"/>
  <c r="E19" i="2" s="1"/>
  <c r="D4" i="2"/>
  <c r="C4" i="2"/>
  <c r="F9" i="2" l="1"/>
  <c r="F17" i="2"/>
  <c r="F4" i="2"/>
  <c r="F12" i="2"/>
  <c r="D19" i="2"/>
  <c r="F5" i="2"/>
  <c r="F13" i="2"/>
  <c r="F8" i="2"/>
  <c r="F16" i="2"/>
  <c r="C19" i="2"/>
  <c r="F19" i="2" s="1"/>
</calcChain>
</file>

<file path=xl/sharedStrings.xml><?xml version="1.0" encoding="utf-8"?>
<sst xmlns="http://schemas.openxmlformats.org/spreadsheetml/2006/main" count="152" uniqueCount="87">
  <si>
    <t>15-Day Assignment Plan</t>
  </si>
  <si>
    <t>Day</t>
  </si>
  <si>
    <t>Focus Area</t>
  </si>
  <si>
    <t>Assign. #</t>
  </si>
  <si>
    <t>Assignment</t>
  </si>
  <si>
    <t>CSS Basics &amp; Box Model</t>
  </si>
  <si>
    <t>Convert an HTML-only page into a styled webpage</t>
  </si>
  <si>
    <t>Create a styled resume page</t>
  </si>
  <si>
    <t>Build a profile card using the box model</t>
  </si>
  <si>
    <t>Style a landing page section</t>
  </si>
  <si>
    <t>CSS Layout &amp; Responsive Menu</t>
  </si>
  <si>
    <t>Complete and submit the Profile Card project</t>
  </si>
  <si>
    <t>Create a responsive menu</t>
  </si>
  <si>
    <t>Create a centered login page</t>
  </si>
  <si>
    <t>Build a product listing layout</t>
  </si>
  <si>
    <t>Grids, Dashboards &amp; Galleries</t>
  </si>
  <si>
    <t>Build a dashboard layout. Submit a responsive landing page</t>
  </si>
  <si>
    <t>Build a photo gallery</t>
  </si>
  <si>
    <t>Build a product grid</t>
  </si>
  <si>
    <t>Make previous projects responsive</t>
  </si>
  <si>
    <t>Responsive Landing Pages + JS Intro</t>
  </si>
  <si>
    <t>Make a nice landing page</t>
  </si>
  <si>
    <t>Complete and submit a fully responsive landing page</t>
  </si>
  <si>
    <t>Create a student profile using variables of different data types</t>
  </si>
  <si>
    <t>Create a grade calculator using conditional statements</t>
  </si>
  <si>
    <t>JS Loops, Debugging &amp; Functions</t>
  </si>
  <si>
    <t>Solve beginner loop-based coding problems</t>
  </si>
  <si>
    <t>Debug and fix a buggy JavaScript file</t>
  </si>
  <si>
    <t>Complete and submit both mini projects</t>
  </si>
  <si>
    <t>Create a utility file containing five reusable mathematical functions</t>
  </si>
  <si>
    <t>Scope, Guard Clauses &amp; Utilities</t>
  </si>
  <si>
    <t>Complete a scope and hoisting prediction worksheet with explanations</t>
  </si>
  <si>
    <t>Build a validation utility library using guard clauses</t>
  </si>
  <si>
    <t>Create utilities for merging settings and calculating totals</t>
  </si>
  <si>
    <t>Submit the practical with test cases and a short reflection</t>
  </si>
  <si>
    <t>Arrays &amp; Strings</t>
  </si>
  <si>
    <t>Build a console-based shopping-list manager</t>
  </si>
  <si>
    <t>Transform a product dataset into filtered and summarized results</t>
  </si>
  <si>
    <t>Build a text-cleaning utility for form inputs</t>
  </si>
  <si>
    <t>Complete an arrays-and-strings problem set</t>
  </si>
  <si>
    <t>Objects &amp; Nested Data</t>
  </si>
  <si>
    <t>Submit source code, sample output and test cases</t>
  </si>
  <si>
    <t>Create a detailed product object with nested specifications</t>
  </si>
  <si>
    <t>Create a cart object that calculates totals and validates quantity</t>
  </si>
  <si>
    <t>Build a profile-summary generator using Object utilities</t>
  </si>
  <si>
    <t>JSON, Object Utilities &amp; DOM Basics</t>
  </si>
  <si>
    <t>Create and validate a sample catalogue.json file</t>
  </si>
  <si>
    <t>Submit catalogue data, utilities and test scenarios</t>
  </si>
  <si>
    <t>Label node relationships for a supplied HTML document</t>
  </si>
  <si>
    <t>Complete an element-selection challenge sheet</t>
  </si>
  <si>
    <t>DOM Manipulation &amp; Events</t>
  </si>
  <si>
    <t>Build a profile-content updater without unsafe HTML injection</t>
  </si>
  <si>
    <t>Add accessible state classes to an interactive profile page</t>
  </si>
  <si>
    <t>Submit the interactive profile with an event map</t>
  </si>
  <si>
    <t>Build a reusable card-rendering function</t>
  </si>
  <si>
    <t>Dynamic UI, Forms &amp; To-Do App</t>
  </si>
  <si>
    <t>Create a dynamic reading-list interface</t>
  </si>
  <si>
    <t>Build a contact form that displays a submission summary</t>
  </si>
  <si>
    <t>Create and document a validation test matrix</t>
  </si>
  <si>
    <t>Submit the to-do app with add, edit, complete, filter and delete features</t>
  </si>
  <si>
    <t>Web Storage &amp; Persistence</t>
  </si>
  <si>
    <t>Write a comparison note for localStorage and sessionStorage</t>
  </si>
  <si>
    <t>Build a persistent settings panel</t>
  </si>
  <si>
    <t>Create a reusable storage helper module</t>
  </si>
  <si>
    <t>Document the load-update-save-render lifecycle</t>
  </si>
  <si>
    <t>Submit the persistent to-do app with a testing checklist</t>
  </si>
  <si>
    <t>Capstone Project: Planning &amp; Core Build</t>
  </si>
  <si>
    <t>Submit the approved project idea, core features and user requirements</t>
  </si>
  <si>
    <t>Submit wireframes and a documented user flow</t>
  </si>
  <si>
    <t>Push the project scaffold with responsive base styles</t>
  </si>
  <si>
    <t>Submit architecture notes and starter utility functions</t>
  </si>
  <si>
    <t>Push a working core feature and update the README progress log</t>
  </si>
  <si>
    <t>Release Candidate, Testing &amp; Revision</t>
  </si>
  <si>
    <t>Submit a feature-complete release candidate</t>
  </si>
  <si>
    <t>Submit a completed test matrix with fixes</t>
  </si>
  <si>
    <t>Submit a bug log containing issue, cause, fix and verification</t>
  </si>
  <si>
    <t>Complete an HTML and CSS revision challenge</t>
  </si>
  <si>
    <t>Final Assessment &amp; Reflection</t>
  </si>
  <si>
    <t>Submit solutions with dry runs and test cases</t>
  </si>
  <si>
    <t>Submit the working challenge and a brief architecture explanation</t>
  </si>
  <si>
    <t>Submit the assessment repository before the deadline</t>
  </si>
  <si>
    <t>Submit reflection, feedback actions and updated portfolio link</t>
  </si>
  <si>
    <t>Daily Summary</t>
  </si>
  <si>
    <t>Total</t>
  </si>
  <si>
    <t>Submissions</t>
  </si>
  <si>
    <t>Done</t>
  </si>
  <si>
    <t>%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</si>
</sst>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9" fontId="4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9" fontId="6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zoomScaleNormal="100" workbookViewId="0">
      <pane ySplit="4" topLeftCell="A43" activePane="bottomLeft" state="frozen"/>
      <selection pane="bottomLeft" activeCell="C1" sqref="C1"/>
    </sheetView>
  </sheetViews>
  <sheetFormatPr defaultColWidth="8.6640625" defaultRowHeight="14.4" x14ac:dyDescent="0.3"/>
  <cols>
    <col min="1" max="1" width="7" customWidth="1"/>
    <col min="2" max="2" width="34" customWidth="1"/>
    <col min="3" max="3" width="10" customWidth="1"/>
    <col min="4" max="4" width="70" customWidth="1"/>
  </cols>
  <sheetData>
    <row r="1" spans="1:4" ht="21" x14ac:dyDescent="0.4">
      <c r="A1" s="1" t="s">
        <v>0</v>
      </c>
    </row>
    <row r="2" spans="1:4" x14ac:dyDescent="0.3">
      <c r="A2" s="2"/>
    </row>
    <row r="4" spans="1:4" x14ac:dyDescent="0.3">
      <c r="A4" s="3" t="s">
        <v>1</v>
      </c>
      <c r="B4" s="3" t="s">
        <v>2</v>
      </c>
      <c r="C4" s="3" t="s">
        <v>3</v>
      </c>
      <c r="D4" s="3" t="s">
        <v>4</v>
      </c>
    </row>
    <row r="5" spans="1:4" x14ac:dyDescent="0.3">
      <c r="A5" s="4">
        <v>1</v>
      </c>
      <c r="B5" s="5" t="s">
        <v>5</v>
      </c>
      <c r="C5" s="4">
        <v>1</v>
      </c>
      <c r="D5" s="5" t="s">
        <v>6</v>
      </c>
    </row>
    <row r="6" spans="1:4" x14ac:dyDescent="0.3">
      <c r="A6" s="4">
        <v>1</v>
      </c>
      <c r="B6" s="5" t="s">
        <v>5</v>
      </c>
      <c r="C6" s="4">
        <v>2</v>
      </c>
      <c r="D6" s="5" t="s">
        <v>7</v>
      </c>
    </row>
    <row r="7" spans="1:4" x14ac:dyDescent="0.3">
      <c r="A7" s="4">
        <v>1</v>
      </c>
      <c r="B7" s="5" t="s">
        <v>5</v>
      </c>
      <c r="C7" s="4">
        <v>3</v>
      </c>
      <c r="D7" s="5" t="s">
        <v>8</v>
      </c>
    </row>
    <row r="8" spans="1:4" x14ac:dyDescent="0.3">
      <c r="A8" s="4">
        <v>1</v>
      </c>
      <c r="B8" s="5" t="s">
        <v>5</v>
      </c>
      <c r="C8" s="4">
        <v>4</v>
      </c>
      <c r="D8" s="5" t="s">
        <v>9</v>
      </c>
    </row>
    <row r="9" spans="1:4" x14ac:dyDescent="0.3">
      <c r="A9" s="6">
        <v>2</v>
      </c>
      <c r="B9" s="7" t="s">
        <v>10</v>
      </c>
      <c r="C9" s="6">
        <v>5</v>
      </c>
      <c r="D9" s="7" t="s">
        <v>11</v>
      </c>
    </row>
    <row r="10" spans="1:4" x14ac:dyDescent="0.3">
      <c r="A10" s="6">
        <v>2</v>
      </c>
      <c r="B10" s="7" t="s">
        <v>10</v>
      </c>
      <c r="C10" s="6">
        <v>6</v>
      </c>
      <c r="D10" s="7" t="s">
        <v>12</v>
      </c>
    </row>
    <row r="11" spans="1:4" x14ac:dyDescent="0.3">
      <c r="A11" s="6">
        <v>2</v>
      </c>
      <c r="B11" s="7" t="s">
        <v>10</v>
      </c>
      <c r="C11" s="6">
        <v>7</v>
      </c>
      <c r="D11" s="7" t="s">
        <v>13</v>
      </c>
    </row>
    <row r="12" spans="1:4" x14ac:dyDescent="0.3">
      <c r="A12" s="6">
        <v>2</v>
      </c>
      <c r="B12" s="7" t="s">
        <v>10</v>
      </c>
      <c r="C12" s="6">
        <v>8</v>
      </c>
      <c r="D12" s="7" t="s">
        <v>14</v>
      </c>
    </row>
    <row r="13" spans="1:4" x14ac:dyDescent="0.3">
      <c r="A13" s="4">
        <v>3</v>
      </c>
      <c r="B13" s="5" t="s">
        <v>15</v>
      </c>
      <c r="C13" s="4">
        <v>9</v>
      </c>
      <c r="D13" s="5" t="s">
        <v>16</v>
      </c>
    </row>
    <row r="14" spans="1:4" x14ac:dyDescent="0.3">
      <c r="A14" s="4">
        <v>3</v>
      </c>
      <c r="B14" s="5" t="s">
        <v>15</v>
      </c>
      <c r="C14" s="4">
        <v>10</v>
      </c>
      <c r="D14" s="5" t="s">
        <v>17</v>
      </c>
    </row>
    <row r="15" spans="1:4" x14ac:dyDescent="0.3">
      <c r="A15" s="4">
        <v>3</v>
      </c>
      <c r="B15" s="5" t="s">
        <v>15</v>
      </c>
      <c r="C15" s="4">
        <v>11</v>
      </c>
      <c r="D15" s="5" t="s">
        <v>18</v>
      </c>
    </row>
    <row r="16" spans="1:4" x14ac:dyDescent="0.3">
      <c r="A16" s="4">
        <v>3</v>
      </c>
      <c r="B16" s="5" t="s">
        <v>15</v>
      </c>
      <c r="C16" s="4">
        <v>12</v>
      </c>
      <c r="D16" s="5" t="s">
        <v>19</v>
      </c>
    </row>
    <row r="17" spans="1:4" x14ac:dyDescent="0.3">
      <c r="A17" s="6">
        <v>4</v>
      </c>
      <c r="B17" s="7" t="s">
        <v>20</v>
      </c>
      <c r="C17" s="6">
        <v>13</v>
      </c>
      <c r="D17" s="7" t="s">
        <v>21</v>
      </c>
    </row>
    <row r="18" spans="1:4" x14ac:dyDescent="0.3">
      <c r="A18" s="6">
        <v>4</v>
      </c>
      <c r="B18" s="7" t="s">
        <v>20</v>
      </c>
      <c r="C18" s="6">
        <v>14</v>
      </c>
      <c r="D18" s="7" t="s">
        <v>22</v>
      </c>
    </row>
    <row r="19" spans="1:4" x14ac:dyDescent="0.3">
      <c r="A19" s="6">
        <v>4</v>
      </c>
      <c r="B19" s="7" t="s">
        <v>20</v>
      </c>
      <c r="C19" s="6">
        <v>15</v>
      </c>
      <c r="D19" s="7" t="s">
        <v>23</v>
      </c>
    </row>
    <row r="20" spans="1:4" x14ac:dyDescent="0.3">
      <c r="A20" s="6">
        <v>4</v>
      </c>
      <c r="B20" s="7" t="s">
        <v>20</v>
      </c>
      <c r="C20" s="6">
        <v>16</v>
      </c>
      <c r="D20" s="7" t="s">
        <v>24</v>
      </c>
    </row>
    <row r="21" spans="1:4" x14ac:dyDescent="0.3">
      <c r="A21" s="4">
        <v>5</v>
      </c>
      <c r="B21" s="5" t="s">
        <v>25</v>
      </c>
      <c r="C21" s="4">
        <v>17</v>
      </c>
      <c r="D21" s="5" t="s">
        <v>26</v>
      </c>
    </row>
    <row r="22" spans="1:4" x14ac:dyDescent="0.3">
      <c r="A22" s="4">
        <v>5</v>
      </c>
      <c r="B22" s="5" t="s">
        <v>25</v>
      </c>
      <c r="C22" s="4">
        <v>18</v>
      </c>
      <c r="D22" s="5" t="s">
        <v>27</v>
      </c>
    </row>
    <row r="23" spans="1:4" x14ac:dyDescent="0.3">
      <c r="A23" s="4">
        <v>5</v>
      </c>
      <c r="B23" s="5" t="s">
        <v>25</v>
      </c>
      <c r="C23" s="4">
        <v>19</v>
      </c>
      <c r="D23" s="5" t="s">
        <v>28</v>
      </c>
    </row>
    <row r="24" spans="1:4" x14ac:dyDescent="0.3">
      <c r="A24" s="4">
        <v>5</v>
      </c>
      <c r="B24" s="5" t="s">
        <v>25</v>
      </c>
      <c r="C24" s="4">
        <v>20</v>
      </c>
      <c r="D24" s="5" t="s">
        <v>29</v>
      </c>
    </row>
    <row r="25" spans="1:4" x14ac:dyDescent="0.3">
      <c r="A25" s="6">
        <v>6</v>
      </c>
      <c r="B25" s="7" t="s">
        <v>30</v>
      </c>
      <c r="C25" s="6">
        <v>21</v>
      </c>
      <c r="D25" s="7" t="s">
        <v>31</v>
      </c>
    </row>
    <row r="26" spans="1:4" x14ac:dyDescent="0.3">
      <c r="A26" s="6">
        <v>6</v>
      </c>
      <c r="B26" s="7" t="s">
        <v>30</v>
      </c>
      <c r="C26" s="6">
        <v>22</v>
      </c>
      <c r="D26" s="7" t="s">
        <v>32</v>
      </c>
    </row>
    <row r="27" spans="1:4" x14ac:dyDescent="0.3">
      <c r="A27" s="6">
        <v>6</v>
      </c>
      <c r="B27" s="7" t="s">
        <v>30</v>
      </c>
      <c r="C27" s="6">
        <v>23</v>
      </c>
      <c r="D27" s="7" t="s">
        <v>33</v>
      </c>
    </row>
    <row r="28" spans="1:4" x14ac:dyDescent="0.3">
      <c r="A28" s="6">
        <v>6</v>
      </c>
      <c r="B28" s="7" t="s">
        <v>30</v>
      </c>
      <c r="C28" s="6">
        <v>24</v>
      </c>
      <c r="D28" s="7" t="s">
        <v>34</v>
      </c>
    </row>
    <row r="29" spans="1:4" x14ac:dyDescent="0.3">
      <c r="A29" s="4">
        <v>7</v>
      </c>
      <c r="B29" s="5" t="s">
        <v>35</v>
      </c>
      <c r="C29" s="4">
        <v>25</v>
      </c>
      <c r="D29" s="5" t="s">
        <v>36</v>
      </c>
    </row>
    <row r="30" spans="1:4" x14ac:dyDescent="0.3">
      <c r="A30" s="4">
        <v>7</v>
      </c>
      <c r="B30" s="5" t="s">
        <v>35</v>
      </c>
      <c r="C30" s="4">
        <v>26</v>
      </c>
      <c r="D30" s="5" t="s">
        <v>37</v>
      </c>
    </row>
    <row r="31" spans="1:4" x14ac:dyDescent="0.3">
      <c r="A31" s="4">
        <v>7</v>
      </c>
      <c r="B31" s="5" t="s">
        <v>35</v>
      </c>
      <c r="C31" s="4">
        <v>27</v>
      </c>
      <c r="D31" s="5" t="s">
        <v>38</v>
      </c>
    </row>
    <row r="32" spans="1:4" x14ac:dyDescent="0.3">
      <c r="A32" s="4">
        <v>7</v>
      </c>
      <c r="B32" s="5" t="s">
        <v>35</v>
      </c>
      <c r="C32" s="4">
        <v>28</v>
      </c>
      <c r="D32" s="5" t="s">
        <v>39</v>
      </c>
    </row>
    <row r="33" spans="1:4" x14ac:dyDescent="0.3">
      <c r="A33" s="6">
        <v>8</v>
      </c>
      <c r="B33" s="7" t="s">
        <v>40</v>
      </c>
      <c r="C33" s="6">
        <v>29</v>
      </c>
      <c r="D33" s="7" t="s">
        <v>41</v>
      </c>
    </row>
    <row r="34" spans="1:4" x14ac:dyDescent="0.3">
      <c r="A34" s="6">
        <v>8</v>
      </c>
      <c r="B34" s="7" t="s">
        <v>40</v>
      </c>
      <c r="C34" s="6">
        <v>30</v>
      </c>
      <c r="D34" s="7" t="s">
        <v>42</v>
      </c>
    </row>
    <row r="35" spans="1:4" x14ac:dyDescent="0.3">
      <c r="A35" s="6">
        <v>8</v>
      </c>
      <c r="B35" s="7" t="s">
        <v>40</v>
      </c>
      <c r="C35" s="6">
        <v>31</v>
      </c>
      <c r="D35" s="7" t="s">
        <v>43</v>
      </c>
    </row>
    <row r="36" spans="1:4" x14ac:dyDescent="0.3">
      <c r="A36" s="6">
        <v>8</v>
      </c>
      <c r="B36" s="7" t="s">
        <v>40</v>
      </c>
      <c r="C36" s="6">
        <v>32</v>
      </c>
      <c r="D36" s="7" t="s">
        <v>44</v>
      </c>
    </row>
    <row r="37" spans="1:4" x14ac:dyDescent="0.3">
      <c r="A37" s="4">
        <v>9</v>
      </c>
      <c r="B37" s="5" t="s">
        <v>45</v>
      </c>
      <c r="C37" s="4">
        <v>33</v>
      </c>
      <c r="D37" s="5" t="s">
        <v>46</v>
      </c>
    </row>
    <row r="38" spans="1:4" x14ac:dyDescent="0.3">
      <c r="A38" s="4">
        <v>9</v>
      </c>
      <c r="B38" s="5" t="s">
        <v>45</v>
      </c>
      <c r="C38" s="4">
        <v>34</v>
      </c>
      <c r="D38" s="5" t="s">
        <v>47</v>
      </c>
    </row>
    <row r="39" spans="1:4" x14ac:dyDescent="0.3">
      <c r="A39" s="4">
        <v>9</v>
      </c>
      <c r="B39" s="5" t="s">
        <v>45</v>
      </c>
      <c r="C39" s="4">
        <v>35</v>
      </c>
      <c r="D39" s="5" t="s">
        <v>48</v>
      </c>
    </row>
    <row r="40" spans="1:4" x14ac:dyDescent="0.3">
      <c r="A40" s="4">
        <v>9</v>
      </c>
      <c r="B40" s="5" t="s">
        <v>45</v>
      </c>
      <c r="C40" s="4">
        <v>36</v>
      </c>
      <c r="D40" s="5" t="s">
        <v>49</v>
      </c>
    </row>
    <row r="41" spans="1:4" x14ac:dyDescent="0.3">
      <c r="A41" s="6">
        <v>10</v>
      </c>
      <c r="B41" s="7" t="s">
        <v>50</v>
      </c>
      <c r="C41" s="6">
        <v>37</v>
      </c>
      <c r="D41" s="7" t="s">
        <v>51</v>
      </c>
    </row>
    <row r="42" spans="1:4" x14ac:dyDescent="0.3">
      <c r="A42" s="6">
        <v>10</v>
      </c>
      <c r="B42" s="7" t="s">
        <v>50</v>
      </c>
      <c r="C42" s="6">
        <v>38</v>
      </c>
      <c r="D42" s="7" t="s">
        <v>52</v>
      </c>
    </row>
    <row r="43" spans="1:4" x14ac:dyDescent="0.3">
      <c r="A43" s="6">
        <v>10</v>
      </c>
      <c r="B43" s="7" t="s">
        <v>50</v>
      </c>
      <c r="C43" s="6">
        <v>39</v>
      </c>
      <c r="D43" s="7" t="s">
        <v>53</v>
      </c>
    </row>
    <row r="44" spans="1:4" x14ac:dyDescent="0.3">
      <c r="A44" s="6">
        <v>10</v>
      </c>
      <c r="B44" s="7" t="s">
        <v>50</v>
      </c>
      <c r="C44" s="6">
        <v>40</v>
      </c>
      <c r="D44" s="7" t="s">
        <v>54</v>
      </c>
    </row>
    <row r="45" spans="1:4" x14ac:dyDescent="0.3">
      <c r="A45" s="4">
        <v>11</v>
      </c>
      <c r="B45" s="5" t="s">
        <v>55</v>
      </c>
      <c r="C45" s="4">
        <v>41</v>
      </c>
      <c r="D45" s="5" t="s">
        <v>56</v>
      </c>
    </row>
    <row r="46" spans="1:4" x14ac:dyDescent="0.3">
      <c r="A46" s="4">
        <v>11</v>
      </c>
      <c r="B46" s="5" t="s">
        <v>55</v>
      </c>
      <c r="C46" s="4">
        <v>42</v>
      </c>
      <c r="D46" s="5" t="s">
        <v>57</v>
      </c>
    </row>
    <row r="47" spans="1:4" x14ac:dyDescent="0.3">
      <c r="A47" s="4">
        <v>11</v>
      </c>
      <c r="B47" s="5" t="s">
        <v>55</v>
      </c>
      <c r="C47" s="4">
        <v>43</v>
      </c>
      <c r="D47" s="5" t="s">
        <v>58</v>
      </c>
    </row>
    <row r="48" spans="1:4" x14ac:dyDescent="0.3">
      <c r="A48" s="4">
        <v>11</v>
      </c>
      <c r="B48" s="5" t="s">
        <v>55</v>
      </c>
      <c r="C48" s="4">
        <v>44</v>
      </c>
      <c r="D48" s="5" t="s">
        <v>59</v>
      </c>
    </row>
    <row r="49" spans="1:4" x14ac:dyDescent="0.3">
      <c r="A49" s="6">
        <v>12</v>
      </c>
      <c r="B49" s="7" t="s">
        <v>60</v>
      </c>
      <c r="C49" s="6">
        <v>45</v>
      </c>
      <c r="D49" s="7" t="s">
        <v>61</v>
      </c>
    </row>
    <row r="50" spans="1:4" x14ac:dyDescent="0.3">
      <c r="A50" s="6">
        <v>12</v>
      </c>
      <c r="B50" s="7" t="s">
        <v>60</v>
      </c>
      <c r="C50" s="6">
        <v>46</v>
      </c>
      <c r="D50" s="7" t="s">
        <v>62</v>
      </c>
    </row>
    <row r="51" spans="1:4" x14ac:dyDescent="0.3">
      <c r="A51" s="6">
        <v>12</v>
      </c>
      <c r="B51" s="7" t="s">
        <v>60</v>
      </c>
      <c r="C51" s="6">
        <v>47</v>
      </c>
      <c r="D51" s="7" t="s">
        <v>63</v>
      </c>
    </row>
    <row r="52" spans="1:4" x14ac:dyDescent="0.3">
      <c r="A52" s="6">
        <v>12</v>
      </c>
      <c r="B52" s="7" t="s">
        <v>60</v>
      </c>
      <c r="C52" s="6">
        <v>48</v>
      </c>
      <c r="D52" s="7" t="s">
        <v>64</v>
      </c>
    </row>
    <row r="53" spans="1:4" x14ac:dyDescent="0.3">
      <c r="A53" s="6">
        <v>12</v>
      </c>
      <c r="B53" s="7" t="s">
        <v>60</v>
      </c>
      <c r="C53" s="6">
        <v>49</v>
      </c>
      <c r="D53" s="7" t="s">
        <v>65</v>
      </c>
    </row>
    <row r="54" spans="1:4" ht="26.4" x14ac:dyDescent="0.3">
      <c r="A54" s="4">
        <v>13</v>
      </c>
      <c r="B54" s="5" t="s">
        <v>66</v>
      </c>
      <c r="C54" s="4">
        <v>50</v>
      </c>
      <c r="D54" s="5" t="s">
        <v>67</v>
      </c>
    </row>
    <row r="55" spans="1:4" ht="26.4" x14ac:dyDescent="0.3">
      <c r="A55" s="4">
        <v>13</v>
      </c>
      <c r="B55" s="5" t="s">
        <v>66</v>
      </c>
      <c r="C55" s="4">
        <v>51</v>
      </c>
      <c r="D55" s="5" t="s">
        <v>68</v>
      </c>
    </row>
    <row r="56" spans="1:4" ht="26.4" x14ac:dyDescent="0.3">
      <c r="A56" s="4">
        <v>13</v>
      </c>
      <c r="B56" s="5" t="s">
        <v>66</v>
      </c>
      <c r="C56" s="4">
        <v>52</v>
      </c>
      <c r="D56" s="5" t="s">
        <v>69</v>
      </c>
    </row>
    <row r="57" spans="1:4" ht="26.4" x14ac:dyDescent="0.3">
      <c r="A57" s="4">
        <v>13</v>
      </c>
      <c r="B57" s="5" t="s">
        <v>66</v>
      </c>
      <c r="C57" s="4">
        <v>53</v>
      </c>
      <c r="D57" s="5" t="s">
        <v>70</v>
      </c>
    </row>
    <row r="58" spans="1:4" ht="26.4" x14ac:dyDescent="0.3">
      <c r="A58" s="4">
        <v>13</v>
      </c>
      <c r="B58" s="5" t="s">
        <v>66</v>
      </c>
      <c r="C58" s="4">
        <v>54</v>
      </c>
      <c r="D58" s="5" t="s">
        <v>71</v>
      </c>
    </row>
    <row r="59" spans="1:4" x14ac:dyDescent="0.3">
      <c r="A59" s="6">
        <v>14</v>
      </c>
      <c r="B59" s="7" t="s">
        <v>72</v>
      </c>
      <c r="C59" s="6">
        <v>55</v>
      </c>
      <c r="D59" s="7" t="s">
        <v>73</v>
      </c>
    </row>
    <row r="60" spans="1:4" x14ac:dyDescent="0.3">
      <c r="A60" s="6">
        <v>14</v>
      </c>
      <c r="B60" s="7" t="s">
        <v>72</v>
      </c>
      <c r="C60" s="6">
        <v>56</v>
      </c>
      <c r="D60" s="7" t="s">
        <v>74</v>
      </c>
    </row>
    <row r="61" spans="1:4" x14ac:dyDescent="0.3">
      <c r="A61" s="6">
        <v>14</v>
      </c>
      <c r="B61" s="7" t="s">
        <v>72</v>
      </c>
      <c r="C61" s="6">
        <v>57</v>
      </c>
      <c r="D61" s="7" t="s">
        <v>75</v>
      </c>
    </row>
    <row r="62" spans="1:4" x14ac:dyDescent="0.3">
      <c r="A62" s="6">
        <v>14</v>
      </c>
      <c r="B62" s="7" t="s">
        <v>72</v>
      </c>
      <c r="C62" s="6">
        <v>58</v>
      </c>
      <c r="D62" s="7" t="s">
        <v>76</v>
      </c>
    </row>
    <row r="63" spans="1:4" x14ac:dyDescent="0.3">
      <c r="A63" s="4">
        <v>15</v>
      </c>
      <c r="B63" s="5" t="s">
        <v>77</v>
      </c>
      <c r="C63" s="4">
        <v>59</v>
      </c>
      <c r="D63" s="5" t="s">
        <v>78</v>
      </c>
    </row>
    <row r="64" spans="1:4" x14ac:dyDescent="0.3">
      <c r="A64" s="4">
        <v>15</v>
      </c>
      <c r="B64" s="5" t="s">
        <v>77</v>
      </c>
      <c r="C64" s="4">
        <v>60</v>
      </c>
      <c r="D64" s="5" t="s">
        <v>79</v>
      </c>
    </row>
    <row r="65" spans="1:4" x14ac:dyDescent="0.3">
      <c r="A65" s="4">
        <v>15</v>
      </c>
      <c r="B65" s="5" t="s">
        <v>77</v>
      </c>
      <c r="C65" s="4">
        <v>61</v>
      </c>
      <c r="D65" s="5" t="s">
        <v>80</v>
      </c>
    </row>
    <row r="66" spans="1:4" x14ac:dyDescent="0.3">
      <c r="A66" s="4">
        <v>15</v>
      </c>
      <c r="B66" s="5" t="s">
        <v>77</v>
      </c>
      <c r="C66" s="4">
        <v>62</v>
      </c>
      <c r="D66" s="5" t="s">
        <v>81</v>
      </c>
    </row>
  </sheetData>
  <autoFilter ref="A4:D66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42" customWidth="1"/>
    <col min="3" max="3" width="10" customWidth="1"/>
    <col min="4" max="4" width="14" customWidth="1"/>
    <col min="5" max="6" width="10" customWidth="1"/>
  </cols>
  <sheetData>
    <row r="1" spans="1:6" ht="17.399999999999999" x14ac:dyDescent="0.3">
      <c r="A1" s="8" t="s">
        <v>82</v>
      </c>
    </row>
    <row r="3" spans="1:6" x14ac:dyDescent="0.3">
      <c r="A3" s="9" t="s">
        <v>1</v>
      </c>
      <c r="B3" s="9" t="s">
        <v>2</v>
      </c>
      <c r="C3" s="9" t="s">
        <v>83</v>
      </c>
      <c r="D3" s="9" t="s">
        <v>84</v>
      </c>
      <c r="E3" s="9" t="s">
        <v>85</v>
      </c>
      <c r="F3" s="9" t="s">
        <v>86</v>
      </c>
    </row>
    <row r="4" spans="1:6" x14ac:dyDescent="0.3">
      <c r="A4" s="10">
        <v>1</v>
      </c>
      <c r="B4" s="11" t="s">
        <v>5</v>
      </c>
      <c r="C4" s="10">
        <f>COUNTIF('15-Day Plan'!$A$5:$A$66,A4)</f>
        <v>4</v>
      </c>
      <c r="D4" s="10" t="e">
        <f>COUNTIFS('15-Day Plan'!$A$5:$A$66,A4,'15-Day Plan'!#REF!,"Submission")</f>
        <v>#REF!</v>
      </c>
      <c r="E4" s="10" t="e">
        <f>COUNTIFS('15-Day Plan'!$A$5:$A$66,A4,'15-Day Plan'!#REF!,"Done")</f>
        <v>#REF!</v>
      </c>
      <c r="F4" s="12" t="e">
        <f t="shared" ref="F4:F19" si="0">IF(C4=0,0,E4/C4)</f>
        <v>#REF!</v>
      </c>
    </row>
    <row r="5" spans="1:6" x14ac:dyDescent="0.3">
      <c r="A5" s="10">
        <v>2</v>
      </c>
      <c r="B5" s="11" t="s">
        <v>10</v>
      </c>
      <c r="C5" s="10">
        <f>COUNTIF('15-Day Plan'!$A$5:$A$66,A5)</f>
        <v>4</v>
      </c>
      <c r="D5" s="10" t="e">
        <f>COUNTIFS('15-Day Plan'!$A$5:$A$66,A5,'15-Day Plan'!#REF!,"Submission")</f>
        <v>#REF!</v>
      </c>
      <c r="E5" s="10" t="e">
        <f>COUNTIFS('15-Day Plan'!$A$5:$A$66,A5,'15-Day Plan'!#REF!,"Done")</f>
        <v>#REF!</v>
      </c>
      <c r="F5" s="12" t="e">
        <f t="shared" si="0"/>
        <v>#REF!</v>
      </c>
    </row>
    <row r="6" spans="1:6" x14ac:dyDescent="0.3">
      <c r="A6" s="10">
        <v>3</v>
      </c>
      <c r="B6" s="11" t="s">
        <v>15</v>
      </c>
      <c r="C6" s="10">
        <f>COUNTIF('15-Day Plan'!$A$5:$A$66,A6)</f>
        <v>4</v>
      </c>
      <c r="D6" s="10" t="e">
        <f>COUNTIFS('15-Day Plan'!$A$5:$A$66,A6,'15-Day Plan'!#REF!,"Submission")</f>
        <v>#REF!</v>
      </c>
      <c r="E6" s="10" t="e">
        <f>COUNTIFS('15-Day Plan'!$A$5:$A$66,A6,'15-Day Plan'!#REF!,"Done")</f>
        <v>#REF!</v>
      </c>
      <c r="F6" s="12" t="e">
        <f t="shared" si="0"/>
        <v>#REF!</v>
      </c>
    </row>
    <row r="7" spans="1:6" x14ac:dyDescent="0.3">
      <c r="A7" s="10">
        <v>4</v>
      </c>
      <c r="B7" s="11" t="s">
        <v>20</v>
      </c>
      <c r="C7" s="10">
        <f>COUNTIF('15-Day Plan'!$A$5:$A$66,A7)</f>
        <v>4</v>
      </c>
      <c r="D7" s="10" t="e">
        <f>COUNTIFS('15-Day Plan'!$A$5:$A$66,A7,'15-Day Plan'!#REF!,"Submission")</f>
        <v>#REF!</v>
      </c>
      <c r="E7" s="10" t="e">
        <f>COUNTIFS('15-Day Plan'!$A$5:$A$66,A7,'15-Day Plan'!#REF!,"Done")</f>
        <v>#REF!</v>
      </c>
      <c r="F7" s="12" t="e">
        <f t="shared" si="0"/>
        <v>#REF!</v>
      </c>
    </row>
    <row r="8" spans="1:6" x14ac:dyDescent="0.3">
      <c r="A8" s="10">
        <v>5</v>
      </c>
      <c r="B8" s="11" t="s">
        <v>25</v>
      </c>
      <c r="C8" s="10">
        <f>COUNTIF('15-Day Plan'!$A$5:$A$66,A8)</f>
        <v>4</v>
      </c>
      <c r="D8" s="10" t="e">
        <f>COUNTIFS('15-Day Plan'!$A$5:$A$66,A8,'15-Day Plan'!#REF!,"Submission")</f>
        <v>#REF!</v>
      </c>
      <c r="E8" s="10" t="e">
        <f>COUNTIFS('15-Day Plan'!$A$5:$A$66,A8,'15-Day Plan'!#REF!,"Done")</f>
        <v>#REF!</v>
      </c>
      <c r="F8" s="12" t="e">
        <f t="shared" si="0"/>
        <v>#REF!</v>
      </c>
    </row>
    <row r="9" spans="1:6" x14ac:dyDescent="0.3">
      <c r="A9" s="10">
        <v>6</v>
      </c>
      <c r="B9" s="11" t="s">
        <v>30</v>
      </c>
      <c r="C9" s="10">
        <f>COUNTIF('15-Day Plan'!$A$5:$A$66,A9)</f>
        <v>4</v>
      </c>
      <c r="D9" s="10" t="e">
        <f>COUNTIFS('15-Day Plan'!$A$5:$A$66,A9,'15-Day Plan'!#REF!,"Submission")</f>
        <v>#REF!</v>
      </c>
      <c r="E9" s="10" t="e">
        <f>COUNTIFS('15-Day Plan'!$A$5:$A$66,A9,'15-Day Plan'!#REF!,"Done")</f>
        <v>#REF!</v>
      </c>
      <c r="F9" s="12" t="e">
        <f t="shared" si="0"/>
        <v>#REF!</v>
      </c>
    </row>
    <row r="10" spans="1:6" x14ac:dyDescent="0.3">
      <c r="A10" s="10">
        <v>7</v>
      </c>
      <c r="B10" s="11" t="s">
        <v>35</v>
      </c>
      <c r="C10" s="10">
        <f>COUNTIF('15-Day Plan'!$A$5:$A$66,A10)</f>
        <v>4</v>
      </c>
      <c r="D10" s="10" t="e">
        <f>COUNTIFS('15-Day Plan'!$A$5:$A$66,A10,'15-Day Plan'!#REF!,"Submission")</f>
        <v>#REF!</v>
      </c>
      <c r="E10" s="10" t="e">
        <f>COUNTIFS('15-Day Plan'!$A$5:$A$66,A10,'15-Day Plan'!#REF!,"Done")</f>
        <v>#REF!</v>
      </c>
      <c r="F10" s="12" t="e">
        <f t="shared" si="0"/>
        <v>#REF!</v>
      </c>
    </row>
    <row r="11" spans="1:6" x14ac:dyDescent="0.3">
      <c r="A11" s="10">
        <v>8</v>
      </c>
      <c r="B11" s="11" t="s">
        <v>40</v>
      </c>
      <c r="C11" s="10">
        <f>COUNTIF('15-Day Plan'!$A$5:$A$66,A11)</f>
        <v>4</v>
      </c>
      <c r="D11" s="10" t="e">
        <f>COUNTIFS('15-Day Plan'!$A$5:$A$66,A11,'15-Day Plan'!#REF!,"Submission")</f>
        <v>#REF!</v>
      </c>
      <c r="E11" s="10" t="e">
        <f>COUNTIFS('15-Day Plan'!$A$5:$A$66,A11,'15-Day Plan'!#REF!,"Done")</f>
        <v>#REF!</v>
      </c>
      <c r="F11" s="12" t="e">
        <f t="shared" si="0"/>
        <v>#REF!</v>
      </c>
    </row>
    <row r="12" spans="1:6" x14ac:dyDescent="0.3">
      <c r="A12" s="10">
        <v>9</v>
      </c>
      <c r="B12" s="11" t="s">
        <v>45</v>
      </c>
      <c r="C12" s="10">
        <f>COUNTIF('15-Day Plan'!$A$5:$A$66,A12)</f>
        <v>4</v>
      </c>
      <c r="D12" s="10" t="e">
        <f>COUNTIFS('15-Day Plan'!$A$5:$A$66,A12,'15-Day Plan'!#REF!,"Submission")</f>
        <v>#REF!</v>
      </c>
      <c r="E12" s="10" t="e">
        <f>COUNTIFS('15-Day Plan'!$A$5:$A$66,A12,'15-Day Plan'!#REF!,"Done")</f>
        <v>#REF!</v>
      </c>
      <c r="F12" s="12" t="e">
        <f t="shared" si="0"/>
        <v>#REF!</v>
      </c>
    </row>
    <row r="13" spans="1:6" x14ac:dyDescent="0.3">
      <c r="A13" s="10">
        <v>10</v>
      </c>
      <c r="B13" s="11" t="s">
        <v>50</v>
      </c>
      <c r="C13" s="10">
        <f>COUNTIF('15-Day Plan'!$A$5:$A$66,A13)</f>
        <v>4</v>
      </c>
      <c r="D13" s="10" t="e">
        <f>COUNTIFS('15-Day Plan'!$A$5:$A$66,A13,'15-Day Plan'!#REF!,"Submission")</f>
        <v>#REF!</v>
      </c>
      <c r="E13" s="10" t="e">
        <f>COUNTIFS('15-Day Plan'!$A$5:$A$66,A13,'15-Day Plan'!#REF!,"Done")</f>
        <v>#REF!</v>
      </c>
      <c r="F13" s="12" t="e">
        <f t="shared" si="0"/>
        <v>#REF!</v>
      </c>
    </row>
    <row r="14" spans="1:6" x14ac:dyDescent="0.3">
      <c r="A14" s="10">
        <v>11</v>
      </c>
      <c r="B14" s="11" t="s">
        <v>55</v>
      </c>
      <c r="C14" s="10">
        <f>COUNTIF('15-Day Plan'!$A$5:$A$66,A14)</f>
        <v>4</v>
      </c>
      <c r="D14" s="10" t="e">
        <f>COUNTIFS('15-Day Plan'!$A$5:$A$66,A14,'15-Day Plan'!#REF!,"Submission")</f>
        <v>#REF!</v>
      </c>
      <c r="E14" s="10" t="e">
        <f>COUNTIFS('15-Day Plan'!$A$5:$A$66,A14,'15-Day Plan'!#REF!,"Done")</f>
        <v>#REF!</v>
      </c>
      <c r="F14" s="12" t="e">
        <f t="shared" si="0"/>
        <v>#REF!</v>
      </c>
    </row>
    <row r="15" spans="1:6" x14ac:dyDescent="0.3">
      <c r="A15" s="10">
        <v>12</v>
      </c>
      <c r="B15" s="11" t="s">
        <v>60</v>
      </c>
      <c r="C15" s="10">
        <f>COUNTIF('15-Day Plan'!$A$5:$A$66,A15)</f>
        <v>5</v>
      </c>
      <c r="D15" s="10" t="e">
        <f>COUNTIFS('15-Day Plan'!$A$5:$A$66,A15,'15-Day Plan'!#REF!,"Submission")</f>
        <v>#REF!</v>
      </c>
      <c r="E15" s="10" t="e">
        <f>COUNTIFS('15-Day Plan'!$A$5:$A$66,A15,'15-Day Plan'!#REF!,"Done")</f>
        <v>#REF!</v>
      </c>
      <c r="F15" s="12" t="e">
        <f t="shared" si="0"/>
        <v>#REF!</v>
      </c>
    </row>
    <row r="16" spans="1:6" x14ac:dyDescent="0.3">
      <c r="A16" s="10">
        <v>13</v>
      </c>
      <c r="B16" s="11" t="s">
        <v>66</v>
      </c>
      <c r="C16" s="10">
        <f>COUNTIF('15-Day Plan'!$A$5:$A$66,A16)</f>
        <v>5</v>
      </c>
      <c r="D16" s="10" t="e">
        <f>COUNTIFS('15-Day Plan'!$A$5:$A$66,A16,'15-Day Plan'!#REF!,"Submission")</f>
        <v>#REF!</v>
      </c>
      <c r="E16" s="10" t="e">
        <f>COUNTIFS('15-Day Plan'!$A$5:$A$66,A16,'15-Day Plan'!#REF!,"Done")</f>
        <v>#REF!</v>
      </c>
      <c r="F16" s="12" t="e">
        <f t="shared" si="0"/>
        <v>#REF!</v>
      </c>
    </row>
    <row r="17" spans="1:6" x14ac:dyDescent="0.3">
      <c r="A17" s="10">
        <v>14</v>
      </c>
      <c r="B17" s="11" t="s">
        <v>72</v>
      </c>
      <c r="C17" s="10">
        <f>COUNTIF('15-Day Plan'!$A$5:$A$66,A17)</f>
        <v>4</v>
      </c>
      <c r="D17" s="10" t="e">
        <f>COUNTIFS('15-Day Plan'!$A$5:$A$66,A17,'15-Day Plan'!#REF!,"Submission")</f>
        <v>#REF!</v>
      </c>
      <c r="E17" s="10" t="e">
        <f>COUNTIFS('15-Day Plan'!$A$5:$A$66,A17,'15-Day Plan'!#REF!,"Done")</f>
        <v>#REF!</v>
      </c>
      <c r="F17" s="12" t="e">
        <f t="shared" si="0"/>
        <v>#REF!</v>
      </c>
    </row>
    <row r="18" spans="1:6" x14ac:dyDescent="0.3">
      <c r="A18" s="10">
        <v>15</v>
      </c>
      <c r="B18" s="11" t="s">
        <v>77</v>
      </c>
      <c r="C18" s="10">
        <f>COUNTIF('15-Day Plan'!$A$5:$A$66,A18)</f>
        <v>4</v>
      </c>
      <c r="D18" s="10" t="e">
        <f>COUNTIFS('15-Day Plan'!$A$5:$A$66,A18,'15-Day Plan'!#REF!,"Submission")</f>
        <v>#REF!</v>
      </c>
      <c r="E18" s="10" t="e">
        <f>COUNTIFS('15-Day Plan'!$A$5:$A$66,A18,'15-Day Plan'!#REF!,"Done")</f>
        <v>#REF!</v>
      </c>
      <c r="F18" s="12" t="e">
        <f t="shared" si="0"/>
        <v>#REF!</v>
      </c>
    </row>
    <row r="19" spans="1:6" x14ac:dyDescent="0.3">
      <c r="A19" s="13" t="s">
        <v>83</v>
      </c>
      <c r="B19" s="13"/>
      <c r="C19" s="13">
        <f>SUM(C4:C18)</f>
        <v>62</v>
      </c>
      <c r="D19" s="13" t="e">
        <f>SUM(D4:D18)</f>
        <v>#REF!</v>
      </c>
      <c r="E19" s="13" t="e">
        <f>SUM(E4:E18)</f>
        <v>#REF!</v>
      </c>
      <c r="F19" s="14" t="e">
        <f t="shared" si="0"/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15-Day Plan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2026-10-16T11:53:38Z</dcterms:created>
  <dcterms:modified xsi:type="dcterms:W3CDTF">2026-10-16T11:56:42Z</dcterms:modified>
  <dc:language>en-US</dc:language>
</cp:coreProperties>
</file>